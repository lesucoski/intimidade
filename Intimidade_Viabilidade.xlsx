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Painel Geral" sheetId="1" state="visible" r:id="rId1"/>
    <sheet name="🎯 Cenários" sheetId="2" state="visible" r:id="rId2"/>
    <sheet name="📈 Payback &amp; ROI" sheetId="3" state="visible" r:id="rId3"/>
    <sheet name="📦 Kits &amp; Produtos" sheetId="4" state="visible" r:id="rId4"/>
    <sheet name="🏛️ Impostos &amp; Tax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.00"/>
    <numFmt numFmtId="165" formatCode="0.00&quot;%&quot;"/>
    <numFmt numFmtId="166" formatCode="0.0&quot;%&quot;"/>
    <numFmt numFmtId="167" formatCode="pct"/>
    <numFmt numFmtId="168" formatCode="#,##0.0"/>
    <numFmt numFmtId="169" formatCode="0.0"/>
  </numFmts>
  <fonts count="9">
    <font>
      <name val="Calibri"/>
      <family val="2"/>
      <color theme="1"/>
      <sz val="11"/>
      <scheme val="minor"/>
    </font>
    <font>
      <name val="Calibri"/>
      <b val="1"/>
      <color rgb="FFD4AF37"/>
      <sz val="16"/>
    </font>
    <font>
      <name val="Calibri"/>
      <b val="1"/>
      <color rgb="FFD4AF37"/>
      <sz val="10"/>
    </font>
    <font>
      <name val="Calibri"/>
      <color rgb="FFEEEEEE"/>
      <sz val="10"/>
    </font>
    <font>
      <name val="Calibri"/>
      <b val="1"/>
      <color rgb="FFD4AF37"/>
      <sz val="11"/>
    </font>
    <font>
      <name val="Calibri"/>
      <color rgb="FF999999"/>
      <sz val="10"/>
    </font>
    <font>
      <name val="Calibri"/>
      <color rgb="FFEEEEEE"/>
      <sz val="11"/>
    </font>
    <font>
      <name val="Calibri"/>
      <b val="1"/>
      <color rgb="FFD4AF37"/>
      <sz val="12"/>
    </font>
    <font>
      <name val="Calibri"/>
      <color rgb="FFD4AF37"/>
      <sz val="10"/>
    </font>
  </fonts>
  <fills count="6">
    <fill>
      <patternFill/>
    </fill>
    <fill>
      <patternFill patternType="gray125"/>
    </fill>
    <fill>
      <patternFill patternType="solid">
        <fgColor rgb="FF0A0A0A"/>
      </patternFill>
    </fill>
    <fill>
      <patternFill patternType="solid">
        <fgColor rgb="FF141414"/>
      </patternFill>
    </fill>
    <fill>
      <patternFill patternType="solid">
        <fgColor rgb="FF1A1A1A"/>
      </patternFill>
    </fill>
    <fill>
      <patternFill patternType="solid">
        <fgColor rgb="FF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166" fontId="4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3" fontId="3" fillId="4" borderId="0" applyAlignment="1" pivotButton="0" quotePrefix="0" xfId="0">
      <alignment horizontal="center" vertical="center" wrapText="1"/>
    </xf>
    <xf numFmtId="164" fontId="3" fillId="4" borderId="0" applyAlignment="1" pivotButton="0" quotePrefix="0" xfId="0">
      <alignment horizontal="center" vertical="center" wrapText="1"/>
    </xf>
    <xf numFmtId="166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3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6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68" fontId="4" fillId="4" borderId="0" applyAlignment="1" pivotButton="0" quotePrefix="0" xfId="0">
      <alignment horizontal="right" vertical="center"/>
    </xf>
    <xf numFmtId="169" fontId="4" fillId="4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164" fontId="8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32" customWidth="1" min="4" max="4"/>
    <col width="18" customWidth="1" min="5" max="5"/>
  </cols>
  <sheetData>
    <row r="1" ht="36" customHeight="1">
      <c r="A1" s="1" t="inlineStr">
        <is>
          <t>INTIMIDADE — Estudo de Viabilidade Financeira</t>
        </is>
      </c>
    </row>
    <row r="2"/>
    <row r="3" ht="20" customHeight="1">
      <c r="A3" s="2" t="inlineStr">
        <is>
          <t>⚙️  ENTRADAS — EDITE AQUI</t>
        </is>
      </c>
      <c r="D3" s="2" t="inlineStr">
        <is>
          <t>📦  CUSTO DO KIT</t>
        </is>
      </c>
    </row>
    <row r="4">
      <c r="A4" s="3" t="inlineStr">
        <is>
          <t>Preço de Venda (R$)</t>
        </is>
      </c>
      <c r="B4" s="4" t="n">
        <v>249</v>
      </c>
      <c r="D4" s="3" t="inlineStr">
        <is>
          <t>Óleo de Massagem</t>
        </is>
      </c>
      <c r="E4" s="4" t="n">
        <v>35</v>
      </c>
    </row>
    <row r="5">
      <c r="A5" s="3" t="inlineStr">
        <is>
          <t>Unidades Vendidas / Mês</t>
        </is>
      </c>
      <c r="B5" s="5" t="n">
        <v>20</v>
      </c>
      <c r="D5" s="3" t="inlineStr">
        <is>
          <t>Vela Aromática</t>
        </is>
      </c>
      <c r="E5" s="4" t="n">
        <v>28</v>
      </c>
    </row>
    <row r="6">
      <c r="A6" s="3" t="inlineStr">
        <is>
          <t>Taxa Plataforma (%)</t>
        </is>
      </c>
      <c r="B6" s="6" t="n">
        <v>16</v>
      </c>
      <c r="D6" s="3" t="inlineStr">
        <is>
          <t>Máscara Tapa-olhos</t>
        </is>
      </c>
      <c r="E6" s="4" t="n">
        <v>20</v>
      </c>
    </row>
    <row r="7">
      <c r="A7" s="3" t="inlineStr">
        <is>
          <t>Taxa Pagamento (%)</t>
        </is>
      </c>
      <c r="B7" s="6" t="n">
        <v>4.99</v>
      </c>
      <c r="D7" s="3" t="inlineStr">
        <is>
          <t>Embalagem Premium</t>
        </is>
      </c>
      <c r="E7" s="4" t="n">
        <v>18</v>
      </c>
    </row>
    <row r="8">
      <c r="A8" s="3" t="inlineStr">
        <is>
          <t>Frete Pago pelo Vendedor (R$)</t>
        </is>
      </c>
      <c r="B8" s="4" t="n">
        <v>22</v>
      </c>
      <c r="D8" s="3" t="inlineStr">
        <is>
          <t>Fita / Laço / Adesivo</t>
        </is>
      </c>
      <c r="E8" s="4" t="n">
        <v>5</v>
      </c>
    </row>
    <row r="9">
      <c r="A9" s="3" t="inlineStr">
        <is>
          <t>Custo Fixo Mensal (R$)</t>
        </is>
      </c>
      <c r="B9" s="4" t="n">
        <v>800</v>
      </c>
      <c r="D9" s="3" t="inlineStr">
        <is>
          <t>Mão de Obra (Montagem)</t>
        </is>
      </c>
      <c r="E9" s="4" t="n">
        <v>10</v>
      </c>
    </row>
    <row r="10">
      <c r="A10" s="3" t="inlineStr">
        <is>
          <t>Marketing Mensal (R$)</t>
        </is>
      </c>
      <c r="B10" s="4" t="n">
        <v>400</v>
      </c>
      <c r="D10" s="3" t="inlineStr">
        <is>
          <t>Material de Proteção</t>
        </is>
      </c>
      <c r="E10" s="4" t="n">
        <v>4</v>
      </c>
    </row>
    <row r="11">
      <c r="A11" s="3" t="inlineStr">
        <is>
          <t>Alíquota Imposto (%)</t>
        </is>
      </c>
      <c r="B11" s="6" t="n">
        <v>5.07</v>
      </c>
      <c r="D11" s="2" t="inlineStr">
        <is>
          <t>TOTAL CUSTO / KIT</t>
        </is>
      </c>
      <c r="E11" s="7">
        <f>SUM(E4:E10)</f>
        <v/>
      </c>
    </row>
    <row r="12"/>
    <row r="13"/>
    <row r="14" ht="20" customHeight="1">
      <c r="A14" s="2" t="inlineStr">
        <is>
          <t>📈  RESULTADOS CALCULADOS</t>
        </is>
      </c>
    </row>
    <row r="15">
      <c r="A15" s="8" t="inlineStr">
        <is>
          <t>Receita Bruta</t>
        </is>
      </c>
      <c r="B15" s="9">
        <f>B4*B5</f>
        <v/>
      </c>
    </row>
    <row r="16">
      <c r="A16" s="8" t="inlineStr">
        <is>
          <t>(-) Custo Variável Total</t>
        </is>
      </c>
      <c r="B16" s="9">
        <f>E11*B5</f>
        <v/>
      </c>
    </row>
    <row r="17">
      <c r="A17" s="8" t="inlineStr">
        <is>
          <t>(-) Taxa Plataforma</t>
        </is>
      </c>
      <c r="B17" s="9">
        <f>B4*(B6/100)*B5</f>
        <v/>
      </c>
    </row>
    <row r="18">
      <c r="A18" s="8" t="inlineStr">
        <is>
          <t>(-) Taxa Pagamento</t>
        </is>
      </c>
      <c r="B18" s="9">
        <f>B4*(B7/100)*B5</f>
        <v/>
      </c>
    </row>
    <row r="19">
      <c r="A19" s="8" t="inlineStr">
        <is>
          <t>(-) Frete Total</t>
        </is>
      </c>
      <c r="B19" s="9">
        <f>B8*B5</f>
        <v/>
      </c>
    </row>
    <row r="20">
      <c r="A20" s="8" t="inlineStr">
        <is>
          <t>(-) Custos Fixos + Marketing</t>
        </is>
      </c>
      <c r="B20" s="9">
        <f>B9+B10</f>
        <v/>
      </c>
    </row>
    <row r="21">
      <c r="A21" s="8" t="inlineStr">
        <is>
          <t>(-) Impostos</t>
        </is>
      </c>
      <c r="B21" s="9">
        <f>B4*B5*(B11/100)</f>
        <v/>
      </c>
    </row>
    <row r="22"/>
    <row r="23">
      <c r="A23" s="2" t="inlineStr">
        <is>
          <t>LUCRO LÍQUIDO / MÊS</t>
        </is>
      </c>
      <c r="B23" s="7">
        <f>B15-B16-B17-B18-B19-B20-B21</f>
        <v/>
      </c>
    </row>
    <row r="24">
      <c r="A24" s="2" t="inlineStr">
        <is>
          <t>MARGEM LÍQUIDA (%)</t>
        </is>
      </c>
      <c r="B24" s="10">
        <f>IF(B15&gt;0,(B23/B15)*100,0)</f>
        <v/>
      </c>
    </row>
    <row r="25">
      <c r="A25" s="2" t="inlineStr">
        <is>
          <t>LUCRO POR KIT</t>
        </is>
      </c>
      <c r="B25" s="7">
        <f>B23/B5</f>
        <v/>
      </c>
    </row>
  </sheetData>
  <mergeCells count="4">
    <mergeCell ref="A14:E14"/>
    <mergeCell ref="D3:E3"/>
    <mergeCell ref="A3:B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INTIMIDADE — Cenários de Vendas</t>
        </is>
      </c>
    </row>
    <row r="2"/>
    <row r="3" ht="20" customHeight="1">
      <c r="A3" s="2" t="inlineStr">
        <is>
          <t>Cenário</t>
        </is>
      </c>
      <c r="B3" s="11" t="inlineStr">
        <is>
          <t>Unidades/Mês</t>
        </is>
      </c>
      <c r="C3" s="11" t="inlineStr">
        <is>
          <t>Receita Bruta</t>
        </is>
      </c>
      <c r="D3" s="11" t="inlineStr">
        <is>
          <t>Lucro Mensal</t>
        </is>
      </c>
      <c r="E3" s="11" t="inlineStr">
        <is>
          <t>Margem (%)</t>
        </is>
      </c>
      <c r="F3" s="11" t="inlineStr">
        <is>
          <t>Viabilidade</t>
        </is>
      </c>
    </row>
    <row r="4">
      <c r="A4" s="12" t="inlineStr">
        <is>
          <t>Pessimista</t>
        </is>
      </c>
      <c r="B4" s="13">
        <f>ROUND('📊 Painel Geral'!B5*0.5,0)</f>
        <v/>
      </c>
      <c r="C4" s="14">
        <f>'📊 Painel Geral'!B4*B4</f>
        <v/>
      </c>
      <c r="D4" s="14">
        <f>C4-('📊 Painel Geral'!E11*B4)-(('📊 Painel Geral'!B4*('📊 Painel Geral'!B6+'📊 Painel Geral'!B7)/100)+'📊 Painel Geral'!B8*B4)-('📊 Painel Geral'!B4*('📊 Painel Geral'!B11/100)*B4)-('📊 Painel Geral'!B9+'📊 Painel Geral'!B10)</f>
        <v/>
      </c>
      <c r="E4" s="15">
        <f>IF(C4&gt;0,D4/C4*100,0)</f>
        <v/>
      </c>
      <c r="F4" s="16">
        <f>IF(E4&gt;25,"✅ Viável",IF(E4&gt;10,"⚠️ Marginal","❌ Inviável"))</f>
        <v/>
      </c>
    </row>
    <row r="5">
      <c r="A5" s="11" t="inlineStr">
        <is>
          <t>Realista</t>
        </is>
      </c>
      <c r="B5" s="17">
        <f>ROUND('📊 Painel Geral'!B5*1.0,0)</f>
        <v/>
      </c>
      <c r="C5" s="18">
        <f>'📊 Painel Geral'!B4*B5</f>
        <v/>
      </c>
      <c r="D5" s="18">
        <f>C5-('📊 Painel Geral'!E11*B5)-(('📊 Painel Geral'!B4*('📊 Painel Geral'!B6+'📊 Painel Geral'!B7)/100)+'📊 Painel Geral'!B8*B5)-('📊 Painel Geral'!B4*('📊 Painel Geral'!B11/100)*B5)-('📊 Painel Geral'!B9+'📊 Painel Geral'!B10)</f>
        <v/>
      </c>
      <c r="E5" s="19">
        <f>IF(C5&gt;0,D5/C5*100,0)</f>
        <v/>
      </c>
      <c r="F5" s="20">
        <f>IF(E5&gt;25,"✅ Viável",IF(E5&gt;10,"⚠️ Marginal","❌ Inviável"))</f>
        <v/>
      </c>
    </row>
    <row r="6">
      <c r="A6" s="12" t="inlineStr">
        <is>
          <t>Otimista</t>
        </is>
      </c>
      <c r="B6" s="13">
        <f>ROUND('📊 Painel Geral'!B5*1.5,0)</f>
        <v/>
      </c>
      <c r="C6" s="14">
        <f>'📊 Painel Geral'!B4*B6</f>
        <v/>
      </c>
      <c r="D6" s="14">
        <f>C6-('📊 Painel Geral'!E11*B6)-(('📊 Painel Geral'!B4*('📊 Painel Geral'!B6+'📊 Painel Geral'!B7)/100)+'📊 Painel Geral'!B8*B6)-('📊 Painel Geral'!B4*('📊 Painel Geral'!B11/100)*B6)-('📊 Painel Geral'!B9+'📊 Painel Geral'!B10)</f>
        <v/>
      </c>
      <c r="E6" s="15">
        <f>IF(C6&gt;0,D6/C6*100,0)</f>
        <v/>
      </c>
      <c r="F6" s="16">
        <f>IF(E6&gt;25,"✅ Viável",IF(E6&gt;10,"⚠️ Marginal","❌ Inviável"))</f>
        <v/>
      </c>
    </row>
    <row r="7">
      <c r="A7" s="11" t="inlineStr">
        <is>
          <t>Agressivo</t>
        </is>
      </c>
      <c r="B7" s="17">
        <f>ROUND('📊 Painel Geral'!B5*2.5,0)</f>
        <v/>
      </c>
      <c r="C7" s="18">
        <f>'📊 Painel Geral'!B4*B7</f>
        <v/>
      </c>
      <c r="D7" s="18">
        <f>C7-('📊 Painel Geral'!E11*B7)-(('📊 Painel Geral'!B4*('📊 Painel Geral'!B6+'📊 Painel Geral'!B7)/100)+'📊 Painel Geral'!B8*B7)-('📊 Painel Geral'!B4*('📊 Painel Geral'!B11/100)*B7)-('📊 Painel Geral'!B9+'📊 Painel Geral'!B10)</f>
        <v/>
      </c>
      <c r="E7" s="19">
        <f>IF(C7&gt;0,D7/C7*100,0)</f>
        <v/>
      </c>
      <c r="F7" s="20">
        <f>IF(E7&gt;25,"✅ Viável",IF(E7&gt;10,"⚠️ Marginal","❌ Inviável"))</f>
        <v/>
      </c>
    </row>
  </sheetData>
  <mergeCells count="2">
    <mergeCell ref="A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6" customHeight="1">
      <c r="A1" s="1" t="inlineStr">
        <is>
          <t>INTIMIDADE — Investimento Inicial &amp; Payback</t>
        </is>
      </c>
    </row>
    <row r="2"/>
    <row r="3" ht="20" customHeight="1">
      <c r="A3" s="2" t="inlineStr">
        <is>
          <t>💰  INVESTIMENTO INICIAL</t>
        </is>
      </c>
    </row>
    <row r="4">
      <c r="A4" s="3" t="inlineStr">
        <is>
          <t>Estoque Inicial (30 kits)</t>
        </is>
      </c>
      <c r="B4" s="4">
        <f>30*'📊 Painel Geral'!E11</f>
        <v/>
      </c>
    </row>
    <row r="5">
      <c r="A5" s="3" t="inlineStr">
        <is>
          <t>Domínio + Hospedagem</t>
        </is>
      </c>
      <c r="B5" s="4" t="n">
        <v>200</v>
      </c>
    </row>
    <row r="6">
      <c r="A6" s="3" t="inlineStr">
        <is>
          <t>Material Visual / Fotos</t>
        </is>
      </c>
      <c r="B6" s="4" t="n">
        <v>500</v>
      </c>
    </row>
    <row r="7">
      <c r="A7" s="3" t="inlineStr">
        <is>
          <t>Capital de Giro Extra</t>
        </is>
      </c>
      <c r="B7" s="4" t="n">
        <v>300</v>
      </c>
    </row>
    <row r="8">
      <c r="A8" s="3" t="inlineStr">
        <is>
          <t>Outros</t>
        </is>
      </c>
      <c r="B8" s="4" t="n">
        <v>200</v>
      </c>
    </row>
    <row r="9">
      <c r="A9" s="21" t="inlineStr">
        <is>
          <t>TOTAL INVESTIMENTO</t>
        </is>
      </c>
      <c r="B9" s="22">
        <f>SUM(B4:B8)</f>
        <v/>
      </c>
    </row>
    <row r="10"/>
    <row r="11" ht="20" customHeight="1">
      <c r="A11" s="2" t="inlineStr">
        <is>
          <t>📊  ANÁLISE DE RETORNO</t>
        </is>
      </c>
    </row>
    <row r="12">
      <c r="A12" s="3" t="inlineStr">
        <is>
          <t>Lucro Mensal Esperado</t>
        </is>
      </c>
      <c r="B12" s="23" t="inlineStr">
        <is>
          <t>'📊 Painel Geral'!B23</t>
        </is>
      </c>
    </row>
    <row r="13">
      <c r="A13" s="3" t="inlineStr">
        <is>
          <t>Margem Líquida</t>
        </is>
      </c>
      <c r="B13" s="24" t="inlineStr">
        <is>
          <t>'📊 Painel Geral'!B24</t>
        </is>
      </c>
    </row>
    <row r="14">
      <c r="A14" s="3" t="inlineStr">
        <is>
          <t>Lucro por Kit</t>
        </is>
      </c>
      <c r="B14" s="23" t="inlineStr">
        <is>
          <t>'📊 Painel Geral'!B25</t>
        </is>
      </c>
    </row>
    <row r="15">
      <c r="A15" s="3" t="inlineStr">
        <is>
          <t>Break-Even (unid./mês)</t>
        </is>
      </c>
      <c r="B15" s="25">
        <f>('📊 Painel Geral'!B9+'📊 Painel Geral'!B10)/MAX('📊 Painel Geral'!B25,0.01)</f>
        <v/>
      </c>
    </row>
    <row r="16">
      <c r="A16" s="3" t="inlineStr">
        <is>
          <t>Payback (meses)</t>
        </is>
      </c>
      <c r="B16" s="26">
        <f>IF('📊 Painel Geral'!B23&gt;0,B9/'📊 Painel Geral'!B23,999)</f>
        <v/>
      </c>
    </row>
    <row r="17">
      <c r="A17" s="3" t="inlineStr">
        <is>
          <t>ROI Anual (%)</t>
        </is>
      </c>
      <c r="B17" s="24">
        <f>IF(B9&gt;0,('📊 Painel Geral'!B23*12/B9)*100,0)</f>
        <v/>
      </c>
    </row>
    <row r="18">
      <c r="A18" s="3" t="inlineStr">
        <is>
          <t>Lucro Anual Estimado</t>
        </is>
      </c>
      <c r="B18" s="23">
        <f>'📊 Painel Geral'!B23*12</f>
        <v/>
      </c>
    </row>
  </sheetData>
  <mergeCells count="3">
    <mergeCell ref="A3:B3"/>
    <mergeCell ref="A11:B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</cols>
  <sheetData>
    <row r="1" ht="36" customHeight="1">
      <c r="A1" s="1" t="inlineStr">
        <is>
          <t>INTIMIDADE — Catálogo de Produtos e Kits</t>
        </is>
      </c>
    </row>
    <row r="2"/>
    <row r="3" ht="20" customHeight="1">
      <c r="A3" s="2" t="inlineStr">
        <is>
          <t>Produto</t>
        </is>
      </c>
      <c r="B3" s="11" t="inlineStr">
        <is>
          <t>Fornecedor/Distribuidor</t>
        </is>
      </c>
      <c r="C3" s="11" t="inlineStr">
        <is>
          <t>Custo Unit. (R$)</t>
        </is>
      </c>
      <c r="D3" s="11" t="inlineStr">
        <is>
          <t>Incluso no Kit</t>
        </is>
      </c>
    </row>
    <row r="4">
      <c r="A4" s="3" t="inlineStr">
        <is>
          <t>Óleo de Massagem 100ml</t>
        </is>
      </c>
      <c r="B4" s="16" t="inlineStr">
        <is>
          <t>Fornecedor A - Atacado</t>
        </is>
      </c>
      <c r="C4" s="27" t="n">
        <v>35</v>
      </c>
      <c r="D4" s="16" t="inlineStr">
        <is>
          <t>✅</t>
        </is>
      </c>
    </row>
    <row r="5">
      <c r="A5" s="28" t="inlineStr">
        <is>
          <t>Vela Aromática Soja</t>
        </is>
      </c>
      <c r="B5" s="20" t="inlineStr">
        <is>
          <t>Fornecedor A - Atacado</t>
        </is>
      </c>
      <c r="C5" s="29" t="n">
        <v>28</v>
      </c>
      <c r="D5" s="20" t="inlineStr">
        <is>
          <t>✅</t>
        </is>
      </c>
    </row>
    <row r="6">
      <c r="A6" s="3" t="inlineStr">
        <is>
          <t>Máscara Tapa-olhos Cetim</t>
        </is>
      </c>
      <c r="B6" s="16" t="inlineStr">
        <is>
          <t>Fornecedor B - Importado</t>
        </is>
      </c>
      <c r="C6" s="27" t="n">
        <v>20</v>
      </c>
      <c r="D6" s="16" t="inlineStr">
        <is>
          <t>✅</t>
        </is>
      </c>
    </row>
    <row r="7">
      <c r="A7" s="28" t="inlineStr">
        <is>
          <t>Embalagem Premium Black</t>
        </is>
      </c>
      <c r="B7" s="20" t="inlineStr">
        <is>
          <t>Gráfica Local</t>
        </is>
      </c>
      <c r="C7" s="29" t="n">
        <v>18</v>
      </c>
      <c r="D7" s="20" t="inlineStr">
        <is>
          <t>✅</t>
        </is>
      </c>
    </row>
    <row r="8">
      <c r="A8" s="3" t="inlineStr">
        <is>
          <t>Fita de Cetim + Adesivo</t>
        </is>
      </c>
      <c r="B8" s="16" t="inlineStr">
        <is>
          <t>Papelaria Atacado</t>
        </is>
      </c>
      <c r="C8" s="27" t="n">
        <v>5</v>
      </c>
      <c r="D8" s="16" t="inlineStr">
        <is>
          <t>✅</t>
        </is>
      </c>
    </row>
    <row r="9">
      <c r="A9" s="28" t="inlineStr">
        <is>
          <t>Pétala de Rosa Seca</t>
        </is>
      </c>
      <c r="B9" s="20" t="inlineStr">
        <is>
          <t>Flora Atacado</t>
        </is>
      </c>
      <c r="C9" s="29" t="n">
        <v>8</v>
      </c>
      <c r="D9" s="20" t="inlineStr">
        <is>
          <t>⭕ Opcional</t>
        </is>
      </c>
    </row>
    <row r="10">
      <c r="A10" s="3" t="inlineStr">
        <is>
          <t>Cartão Personalizado</t>
        </is>
      </c>
      <c r="B10" s="16" t="inlineStr">
        <is>
          <t>Gráfica Local</t>
        </is>
      </c>
      <c r="C10" s="27" t="n">
        <v>4</v>
      </c>
      <c r="D10" s="16" t="inlineStr">
        <is>
          <t>⭕ Opcional</t>
        </is>
      </c>
    </row>
    <row r="11">
      <c r="A11" s="28" t="inlineStr">
        <is>
          <t>Sachê Perfumado</t>
        </is>
      </c>
      <c r="B11" s="20" t="inlineStr">
        <is>
          <t>Fornecedor B - Importado</t>
        </is>
      </c>
      <c r="C11" s="29" t="n">
        <v>12</v>
      </c>
      <c r="D11" s="20" t="inlineStr">
        <is>
          <t>⭕ Opcional</t>
        </is>
      </c>
    </row>
  </sheetData>
  <mergeCells count="2">
    <mergeCell ref="A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</cols>
  <sheetData>
    <row r="1" ht="36" customHeight="1">
      <c r="A1" s="1" t="inlineStr">
        <is>
          <t>INTIMIDADE — Guia de Impostos e Taxas de Marketplace</t>
        </is>
      </c>
    </row>
    <row r="2"/>
    <row r="3" ht="20" customHeight="1">
      <c r="A3" s="2" t="inlineStr">
        <is>
          <t>Regime Tributário</t>
        </is>
      </c>
    </row>
    <row r="4">
      <c r="A4" s="30" t="inlineStr">
        <is>
          <t>MEI</t>
        </is>
      </c>
      <c r="B4" s="31" t="inlineStr">
        <is>
          <t>~R$ 75/mês fixo</t>
        </is>
      </c>
      <c r="C4" s="32" t="inlineStr">
        <is>
          <t>CNPJ simples. Limite R$81k/ano. Ideal para início.</t>
        </is>
      </c>
    </row>
    <row r="5">
      <c r="A5" s="33" t="inlineStr">
        <is>
          <t>Simples Nacional - Anexo I (Comércio)</t>
        </is>
      </c>
      <c r="B5" s="34" t="inlineStr">
        <is>
          <t>4% a 11,2%</t>
        </is>
      </c>
      <c r="C5" s="35" t="inlineStr">
        <is>
          <t>Sobre faturamento. Recomendado a partir de R$7k/mês.</t>
        </is>
      </c>
    </row>
    <row r="6">
      <c r="A6" s="30" t="inlineStr">
        <is>
          <t>Lucro Presumido</t>
        </is>
      </c>
      <c r="B6" s="31" t="inlineStr">
        <is>
          <t>~8% + 3% = ~11%</t>
        </is>
      </c>
      <c r="C6" s="32" t="inlineStr">
        <is>
          <t>Para faturamento acima de R$360k/ano.</t>
        </is>
      </c>
    </row>
    <row r="7"/>
    <row r="8"/>
    <row r="9" ht="20" customHeight="1">
      <c r="A9" s="2" t="inlineStr">
        <is>
          <t>Taxas por Plataforma</t>
        </is>
      </c>
    </row>
    <row r="10" ht="32" customHeight="1">
      <c r="A10" s="30" t="inlineStr">
        <is>
          <t>Mercado Livre - Clássico</t>
        </is>
      </c>
      <c r="B10" s="31" t="inlineStr">
        <is>
          <t>10-11% + 4,99% pgto</t>
        </is>
      </c>
      <c r="C10" s="32" t="inlineStr">
        <is>
          <t>Visibilidade menor. Sem frete grátis obrigatório.</t>
        </is>
      </c>
    </row>
    <row r="11" ht="32" customHeight="1">
      <c r="A11" s="33" t="inlineStr">
        <is>
          <t>Mercado Livre - Premium</t>
        </is>
      </c>
      <c r="B11" s="34" t="inlineStr">
        <is>
          <t>16-19% + 4,99% pgto</t>
        </is>
      </c>
      <c r="C11" s="35" t="inlineStr">
        <is>
          <t>Topo de busca. Frete grátis obrigatório acima R$79.</t>
        </is>
      </c>
    </row>
    <row r="12" ht="32" customHeight="1">
      <c r="A12" s="30" t="inlineStr">
        <is>
          <t>Shopee</t>
        </is>
      </c>
      <c r="B12" s="31" t="inlineStr">
        <is>
          <t>12-16%</t>
        </is>
      </c>
      <c r="C12" s="32" t="inlineStr">
        <is>
          <t>Frete subsidiado em campanhas. Sem taxa de pgto extra.</t>
        </is>
      </c>
    </row>
    <row r="13" ht="32" customHeight="1">
      <c r="A13" s="33" t="inlineStr">
        <is>
          <t>WhatsApp / Site Próprio</t>
        </is>
      </c>
      <c r="B13" s="34" t="inlineStr">
        <is>
          <t>0% + 3,5% gateway</t>
        </is>
      </c>
      <c r="C13" s="35" t="inlineStr">
        <is>
          <t>Melhor margem. Você gerencia o atendimento.</t>
        </is>
      </c>
    </row>
    <row r="14" ht="32" customHeight="1">
      <c r="A14" s="30" t="inlineStr">
        <is>
          <t>Amazon BR</t>
        </is>
      </c>
      <c r="B14" s="31" t="inlineStr">
        <is>
          <t>~15%</t>
        </is>
      </c>
      <c r="C14" s="32" t="inlineStr">
        <is>
          <t>Marketplace premium. Exige cadastro como profissional.</t>
        </is>
      </c>
    </row>
  </sheetData>
  <mergeCells count="3">
    <mergeCell ref="A9:C9"/>
    <mergeCell ref="A3:C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2026-04-20T02:23:25Z</dcterms:created>
  <dcterms:modified xsi:type="dcterms:W3CDTF">2026-04-20T02:23:25Z</dcterms:modified>
</cp:coreProperties>
</file>